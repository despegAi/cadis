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ADIS - EL TORNO -RIO BONITO\"/>
    </mc:Choice>
  </mc:AlternateContent>
  <xr:revisionPtr revIDLastSave="0" documentId="13_ncr:1_{A2AC5729-E6BF-4288-AF0B-04B6438CE6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gresos y Egresos" sheetId="1" r:id="rId1"/>
    <sheet name="Instrucciones y Guí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1" i="1" l="1"/>
  <c r="E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6" i="1"/>
  <c r="C6" i="1"/>
  <c r="J7" i="1" s="1"/>
  <c r="A6" i="1"/>
  <c r="J6" i="1" s="1"/>
  <c r="G121" i="1" l="1"/>
  <c r="E6" i="1"/>
</calcChain>
</file>

<file path=xl/sharedStrings.xml><?xml version="1.0" encoding="utf-8"?>
<sst xmlns="http://schemas.openxmlformats.org/spreadsheetml/2006/main" count="53" uniqueCount="49">
  <si>
    <t>CADIS BIENES RAÍCES Y SERVICIOS INMOBILIARIOS</t>
  </si>
  <si>
    <t>PROYECTO: MINI QUINTAS RÍO BONITO — CONTROL DE INGRESOS Y EGRESOS (Bs.)</t>
  </si>
  <si>
    <t>TOTAL INGRESOS (+)</t>
  </si>
  <si>
    <t>TOTAL EGRESOS (-)</t>
  </si>
  <si>
    <t>SALDO NETO (DISPONIBLE)</t>
  </si>
  <si>
    <t>REGISTROS</t>
  </si>
  <si>
    <t>Concepto</t>
  </si>
  <si>
    <t>Monto (Bs.)</t>
  </si>
  <si>
    <t>Ingresos</t>
  </si>
  <si>
    <t>Egresos</t>
  </si>
  <si>
    <t>N°</t>
  </si>
  <si>
    <t>Fecha</t>
  </si>
  <si>
    <t>Categoría</t>
  </si>
  <si>
    <t>Detalles / Descripción</t>
  </si>
  <si>
    <t>Ingresos (Bs.)</t>
  </si>
  <si>
    <t>Egresos (Bs.)</t>
  </si>
  <si>
    <t>Saldo Acumulado (Bs.)</t>
  </si>
  <si>
    <t>TOTALES GENERALES (Bs.)</t>
  </si>
  <si>
    <t>GUÍA DE USO — CONTROL DE INGRESOS Y EGRESOS EN BOLIVIANOS (Bs.)</t>
  </si>
  <si>
    <t>1. Estructura de la Planilla en Bolivianos (Bs.)</t>
  </si>
  <si>
    <t>La pestaña 'Ingresos y Egresos' está expresada íntegramente en Bolivianos (Bs.):
 • Tarjetas KPI de Resumen (Totales e indicador disponible en Bs.).
 • Gráfico de Pie / Torta automático (Proporción Ingresos vs Egresos).
 • Tabla de Registro detallado para más de 100 operaciones.</t>
  </si>
  <si>
    <t>2. Cómo Registrar Nuevos Movimientos</t>
  </si>
  <si>
    <t>1. Ingrese la Fecha (Formato YYYY-MM-DD o DD/MM/AAAA).
2. Seleccione la Categoría en el menú desplegable.
3. Escriba el Detalle o Descripción de la transacción (Cliente, Lote, concepto).
4. Ingrese el monto expresado en Bolivianos en Ingresos (Bs.) O en Egresos (Bs.).
5. El Saldo Acumulado y los Totales en Bs. se calcularán automáticamente.</t>
  </si>
  <si>
    <t>3. Eliminación o Modificación de Ejemplos</t>
  </si>
  <si>
    <t>Las primeras filas contienen datos de ejemplo expresados en Bolivianos para ilustrar el funcionamiento.
Puede borrarlos libremente o sobrescribirlos con las operaciones reales de la empresa.</t>
  </si>
  <si>
    <t>4. Categorías Disponibles</t>
  </si>
  <si>
    <t>• Venta Lote: Pagos totales o de contado por lotes.
• Cuota / Reserva: Anticipos, seña o mensualidades de terrenos.
• Comisión: Pago de comisiones a asesores inmobiliarios.
• Servicios Inmobiliarios: Honorarios por asesoría, avalúos o gestión.
• Publicidad / Marketing: Facebook Ads, carteles, folletos, eventos.
• Mantenimiento / Obras: Apertura de calles, desmalezado, demarcación.
• Gastos Legales: Minutas, notarios, derechos reales.
• Impuestos / Tasas: Patentes municipales, impuestos inmobiliarios.
• Gastos Administrativos: Papelería, oficina, software.
• Servicios Básicos: Agua, luz, telefonía, internet.
• Otros: Movimientos no clasificados.</t>
  </si>
  <si>
    <t>5. Fórmulas Automáticas</t>
  </si>
  <si>
    <t>Todas las celdas de Totales y Saldos en Bs. utilizan fórmulas nativas de Excel.
No altere las fórmulas de la columna 'Saldo Acumulado (Bs.)' ni del bloque de resumen para asegurar el correcto funcionamiento.</t>
  </si>
  <si>
    <t>VENTA DE UNA HECTAREA AL AMIGO DEL SR ROLY</t>
  </si>
  <si>
    <t xml:space="preserve">VENTA DE MINI QUINTAS </t>
  </si>
  <si>
    <t xml:space="preserve">PAPA DE CARLOS ARTEGA </t>
  </si>
  <si>
    <t xml:space="preserve">RESERVA </t>
  </si>
  <si>
    <t>RECERVA DE 3 MINIQUINTAS HNO CARLOS</t>
  </si>
  <si>
    <t>CLIENTE ROLY</t>
  </si>
  <si>
    <t>COMPRAS OFICINA</t>
  </si>
  <si>
    <t xml:space="preserve">COMISION </t>
  </si>
  <si>
    <t>COMISION A CARLOS ARTEAGA</t>
  </si>
  <si>
    <t>COMISION OFICINA</t>
  </si>
  <si>
    <t xml:space="preserve">DE LAS VENTAS DE MINIQUINTAS </t>
  </si>
  <si>
    <t xml:space="preserve">MATERIAL DE ESCRITORIO, LIMPIEZA Y OTROS </t>
  </si>
  <si>
    <t xml:space="preserve">COMISION POR VENTA </t>
  </si>
  <si>
    <t xml:space="preserve">AMIGO DEL SR ROLY , MIGUEL A. ROCHA </t>
  </si>
  <si>
    <t xml:space="preserve">CARLOS ANDIA </t>
  </si>
  <si>
    <t>ROLLER TOLEDO</t>
  </si>
  <si>
    <t xml:space="preserve">VENTA </t>
  </si>
  <si>
    <t>COMISION</t>
  </si>
  <si>
    <t>CARLOS ARTEAGA 3 MINI QUINTAS MZ2</t>
  </si>
  <si>
    <t>COMISION POR VENTAS 3 MIQUNTAS M2 CARLOS ARTE.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</si>
</sst>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s. &quot;#,##0.00;\(&quot;Bs. &quot;#,##0.00\);&quot;-&quot;"/>
    <numFmt numFmtId="165" formatCode="yyyy\-mm\-dd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i/>
      <sz val="11"/>
      <color rgb="FFE2E8F0"/>
      <name val="Calibri"/>
    </font>
    <font>
      <b/>
      <sz val="9"/>
      <color rgb="FF64748B"/>
      <name val="Calibri"/>
    </font>
    <font>
      <b/>
      <sz val="18"/>
      <color rgb="FF065F46"/>
      <name val="Calibri"/>
    </font>
    <font>
      <b/>
      <sz val="18"/>
      <color rgb="FF991B1B"/>
      <name val="Calibri"/>
    </font>
    <font>
      <b/>
      <sz val="18"/>
      <color rgb="FF1E40AF"/>
      <name val="Calibri"/>
    </font>
    <font>
      <b/>
      <sz val="18"/>
      <color rgb="FF334155"/>
      <name val="Calibri"/>
    </font>
    <font>
      <b/>
      <sz val="11"/>
      <color rgb="FFFFFFFF"/>
      <name val="Calibri"/>
    </font>
    <font>
      <sz val="10"/>
      <color rgb="FF64748B"/>
      <name val="Calibri"/>
    </font>
    <font>
      <b/>
      <sz val="10"/>
      <name val="Calibri"/>
    </font>
    <font>
      <b/>
      <sz val="11"/>
      <color rgb="FF1E293B"/>
      <name val="Calibri"/>
    </font>
    <font>
      <b/>
      <sz val="11"/>
      <color rgb="FF065F46"/>
      <name val="Calibri"/>
    </font>
    <font>
      <b/>
      <sz val="11"/>
      <color rgb="FF991B1B"/>
      <name val="Calibri"/>
    </font>
    <font>
      <b/>
      <sz val="11"/>
      <color rgb="FF1E40AF"/>
      <name val="Calibri"/>
    </font>
    <font>
      <b/>
      <sz val="12"/>
      <color rgb="FF1E293B"/>
      <name val="Calibri"/>
    </font>
    <font>
      <sz val="10"/>
      <color rgb="FF33415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ECFDF5"/>
        <bgColor rgb="FFECFDF5"/>
      </patternFill>
    </fill>
    <fill>
      <patternFill patternType="solid">
        <fgColor rgb="FFFEF2F2"/>
        <bgColor rgb="FFFEF2F2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</fills>
  <borders count="7">
    <border>
      <left/>
      <right/>
      <top/>
      <bottom/>
      <diagonal/>
    </border>
    <border>
      <left style="medium">
        <color rgb="FF059669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medium">
        <color rgb="FFDC2626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medium">
        <color rgb="FF2563EB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medium">
        <color rgb="FF64748B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7" borderId="4" xfId="0" applyFont="1" applyFill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0" fontId="8" fillId="2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/>
    </xf>
    <xf numFmtId="165" fontId="0" fillId="8" borderId="5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left" vertical="center"/>
    </xf>
    <xf numFmtId="164" fontId="0" fillId="8" borderId="5" xfId="0" applyNumberFormat="1" applyFill="1" applyBorder="1" applyAlignment="1">
      <alignment horizontal="right" vertical="center"/>
    </xf>
    <xf numFmtId="164" fontId="10" fillId="8" borderId="5" xfId="0" applyNumberFormat="1" applyFont="1" applyFill="1" applyBorder="1" applyAlignment="1">
      <alignment horizontal="right" vertical="center"/>
    </xf>
    <xf numFmtId="0" fontId="9" fillId="7" borderId="5" xfId="0" applyFont="1" applyFill="1" applyBorder="1" applyAlignment="1">
      <alignment horizontal="center" vertical="center"/>
    </xf>
    <xf numFmtId="165" fontId="0" fillId="7" borderId="5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left" vertical="center"/>
    </xf>
    <xf numFmtId="164" fontId="0" fillId="7" borderId="5" xfId="0" applyNumberFormat="1" applyFill="1" applyBorder="1" applyAlignment="1">
      <alignment horizontal="right" vertical="center"/>
    </xf>
    <xf numFmtId="164" fontId="10" fillId="7" borderId="5" xfId="0" applyNumberFormat="1" applyFont="1" applyFill="1" applyBorder="1" applyAlignment="1">
      <alignment horizontal="right" vertical="center"/>
    </xf>
    <xf numFmtId="164" fontId="12" fillId="9" borderId="6" xfId="0" applyNumberFormat="1" applyFont="1" applyFill="1" applyBorder="1" applyAlignment="1">
      <alignment horizontal="right" vertical="center"/>
    </xf>
    <xf numFmtId="164" fontId="13" fillId="9" borderId="6" xfId="0" applyNumberFormat="1" applyFont="1" applyFill="1" applyBorder="1" applyAlignment="1">
      <alignment horizontal="right" vertical="center"/>
    </xf>
    <xf numFmtId="164" fontId="14" fillId="9" borderId="6" xfId="0" applyNumberFormat="1" applyFont="1" applyFill="1" applyBorder="1" applyAlignment="1">
      <alignment horizontal="right" vertical="center"/>
    </xf>
    <xf numFmtId="0" fontId="1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9" borderId="6" xfId="0" applyFont="1" applyFill="1" applyBorder="1" applyAlignment="1">
      <alignment horizontal="right" vertical="center"/>
    </xf>
    <xf numFmtId="0" fontId="0" fillId="9" borderId="6" xfId="0" applyFill="1" applyBorder="1"/>
    <xf numFmtId="164" fontId="6" fillId="6" borderId="3" xfId="0" applyNumberFormat="1" applyFont="1" applyFill="1" applyBorder="1" applyAlignment="1">
      <alignment horizontal="center" vertical="center"/>
    </xf>
    <xf numFmtId="0" fontId="0" fillId="6" borderId="3" xfId="0" applyFill="1" applyBorder="1"/>
    <xf numFmtId="164" fontId="5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2" fillId="3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4" fillId="4" borderId="1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3" fontId="7" fillId="7" borderId="4" xfId="0" applyNumberFormat="1" applyFont="1" applyFill="1" applyBorder="1" applyAlignment="1">
      <alignment horizontal="center" vertical="center"/>
    </xf>
    <xf numFmtId="0" fontId="0" fillId="7" borderId="4" xfId="0" applyFill="1" applyBorder="1"/>
    <xf numFmtId="0" fontId="16" fillId="7" borderId="5" xfId="0" applyFont="1" applyFill="1" applyBorder="1" applyAlignment="1">
      <alignment horizontal="left" vertical="top" wrapText="1"/>
    </xf>
    <xf numFmtId="0" fontId="0" fillId="7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Distribución Financiera: Ingresos vs Egresos (Bs.)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'Ingresos y Egresos'!$J$5</c:f>
              <c:strCache>
                <c:ptCount val="1"/>
                <c:pt idx="0">
                  <c:v>Monto (Bs.)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'Ingresos y Egresos'!$I$6:$I$7</c:f>
              <c:strCache>
                <c:ptCount val="2"/>
                <c:pt idx="0">
                  <c:v>Ingresos</c:v>
                </c:pt>
                <c:pt idx="1">
                  <c:v>Egresos</c:v>
                </c:pt>
              </c:strCache>
            </c:strRef>
          </c:cat>
          <c:val>
            <c:numRef>
              <c:f>'Ingresos y Egresos'!$J$6:$J$7</c:f>
              <c:numCache>
                <c:formatCode>"Bs. "#,##0.00;\("Bs. "#,##0.00\);"-"</c:formatCode>
                <c:ptCount val="2"/>
                <c:pt idx="0">
                  <c:v>194200</c:v>
                </c:pt>
                <c:pt idx="1">
                  <c:v>152128.5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9-4412-9646-41F90759FF4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1"/>
  <sheetViews>
    <sheetView tabSelected="1" workbookViewId="0">
      <pane ySplit="12" topLeftCell="A17" activePane="bottomLeft" state="frozen"/>
      <selection pane="bottomLeft" activeCell="F18" sqref="F18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3" width="25" customWidth="1"/>
    <col min="4" max="4" width="45" customWidth="1"/>
    <col min="5" max="6" width="20" customWidth="1"/>
    <col min="7" max="7" width="22" customWidth="1"/>
    <col min="9" max="9" width="14" customWidth="1"/>
    <col min="10" max="10" width="18" customWidth="1"/>
  </cols>
  <sheetData>
    <row r="2" spans="1:10" ht="30" customHeight="1" x14ac:dyDescent="0.25">
      <c r="A2" s="19" t="s">
        <v>0</v>
      </c>
      <c r="B2" s="20"/>
      <c r="C2" s="20"/>
      <c r="D2" s="20"/>
      <c r="E2" s="20"/>
      <c r="F2" s="20"/>
      <c r="G2" s="20"/>
    </row>
    <row r="3" spans="1:10" ht="21.95" customHeight="1" x14ac:dyDescent="0.25">
      <c r="A3" s="27" t="s">
        <v>1</v>
      </c>
      <c r="B3" s="20"/>
      <c r="C3" s="20"/>
      <c r="D3" s="20"/>
      <c r="E3" s="20"/>
      <c r="F3" s="20"/>
      <c r="G3" s="20"/>
    </row>
    <row r="5" spans="1:10" x14ac:dyDescent="0.25">
      <c r="A5" s="29" t="s">
        <v>2</v>
      </c>
      <c r="B5" s="30"/>
      <c r="C5" s="28" t="s">
        <v>3</v>
      </c>
      <c r="D5" s="26"/>
      <c r="E5" s="32" t="s">
        <v>4</v>
      </c>
      <c r="F5" s="24"/>
      <c r="G5" s="1" t="s">
        <v>5</v>
      </c>
      <c r="I5" s="2" t="s">
        <v>6</v>
      </c>
      <c r="J5" s="3" t="s">
        <v>7</v>
      </c>
    </row>
    <row r="6" spans="1:10" x14ac:dyDescent="0.25">
      <c r="A6" s="31">
        <f>SUM(E13:E120)</f>
        <v>194200</v>
      </c>
      <c r="B6" s="30"/>
      <c r="C6" s="25">
        <f>SUM(F13:F120)</f>
        <v>152128.5</v>
      </c>
      <c r="D6" s="26"/>
      <c r="E6" s="23">
        <f>A6-C6</f>
        <v>42071.5</v>
      </c>
      <c r="F6" s="24"/>
      <c r="G6" s="33">
        <f>COUNTA(B13:B120)</f>
        <v>12</v>
      </c>
      <c r="I6" s="2" t="s">
        <v>8</v>
      </c>
      <c r="J6" s="3">
        <f>A6</f>
        <v>194200</v>
      </c>
    </row>
    <row r="7" spans="1:10" x14ac:dyDescent="0.25">
      <c r="A7" s="30"/>
      <c r="B7" s="30"/>
      <c r="C7" s="26"/>
      <c r="D7" s="26"/>
      <c r="E7" s="24"/>
      <c r="F7" s="24"/>
      <c r="G7" s="34"/>
      <c r="I7" s="2" t="s">
        <v>9</v>
      </c>
      <c r="J7" s="3">
        <f>C6</f>
        <v>152128.5</v>
      </c>
    </row>
    <row r="12" spans="1:10" ht="26.1" customHeight="1" x14ac:dyDescent="0.25">
      <c r="A12" s="4" t="s">
        <v>10</v>
      </c>
      <c r="B12" s="4" t="s">
        <v>11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16</v>
      </c>
    </row>
    <row r="13" spans="1:10" ht="20.100000000000001" customHeight="1" x14ac:dyDescent="0.25">
      <c r="A13" s="5">
        <v>1</v>
      </c>
      <c r="B13" s="6">
        <v>46292</v>
      </c>
      <c r="C13" s="7" t="s">
        <v>45</v>
      </c>
      <c r="D13" s="7" t="s">
        <v>29</v>
      </c>
      <c r="E13" s="8">
        <v>42000</v>
      </c>
      <c r="F13" s="8"/>
      <c r="G13" s="9"/>
    </row>
    <row r="14" spans="1:10" ht="20.100000000000001" customHeight="1" x14ac:dyDescent="0.25">
      <c r="A14" s="10">
        <v>2</v>
      </c>
      <c r="B14" s="11">
        <v>46268</v>
      </c>
      <c r="C14" s="12" t="s">
        <v>30</v>
      </c>
      <c r="D14" s="12" t="s">
        <v>31</v>
      </c>
      <c r="E14" s="13">
        <v>96000</v>
      </c>
      <c r="F14" s="13"/>
      <c r="G14" s="14">
        <f>IF(AND(ISBLANK(B14), ISBLANK(E14), ISBLANK(F14)), "", SUM($E$13:E14)-SUM($F$13:F14))</f>
        <v>138000</v>
      </c>
    </row>
    <row r="15" spans="1:10" ht="20.100000000000001" customHeight="1" x14ac:dyDescent="0.25">
      <c r="A15" s="5">
        <v>3</v>
      </c>
      <c r="B15" s="6">
        <v>46268</v>
      </c>
      <c r="C15" s="7" t="s">
        <v>32</v>
      </c>
      <c r="D15" s="7" t="s">
        <v>33</v>
      </c>
      <c r="E15" s="8">
        <v>5000</v>
      </c>
      <c r="F15" s="8"/>
      <c r="G15" s="9">
        <f>IF(AND(ISBLANK(B15), ISBLANK(E15), ISBLANK(F15)), "", SUM($E$13:E15)-SUM($F$13:F15))</f>
        <v>143000</v>
      </c>
    </row>
    <row r="16" spans="1:10" ht="20.100000000000001" customHeight="1" x14ac:dyDescent="0.25">
      <c r="A16" s="10">
        <v>4</v>
      </c>
      <c r="B16" s="11">
        <v>46269</v>
      </c>
      <c r="C16" s="12" t="s">
        <v>32</v>
      </c>
      <c r="D16" s="12" t="s">
        <v>34</v>
      </c>
      <c r="E16" s="13">
        <v>1200</v>
      </c>
      <c r="F16" s="13"/>
      <c r="G16" s="14">
        <f>IF(AND(ISBLANK(B16), ISBLANK(E16), ISBLANK(F16)), "", SUM($E$13:E16)-SUM($F$13:F16))</f>
        <v>144200</v>
      </c>
    </row>
    <row r="17" spans="1:7" ht="20.100000000000001" customHeight="1" x14ac:dyDescent="0.25">
      <c r="A17" s="5">
        <v>5</v>
      </c>
      <c r="B17" s="6">
        <v>46268</v>
      </c>
      <c r="C17" s="7" t="s">
        <v>35</v>
      </c>
      <c r="D17" s="7" t="s">
        <v>40</v>
      </c>
      <c r="E17" s="8"/>
      <c r="F17" s="8">
        <v>97128.5</v>
      </c>
      <c r="G17" s="9">
        <f>IF(AND(ISBLANK(B17), ISBLANK(E17), ISBLANK(F17)), "", SUM($E$13:E17)-SUM($F$13:F17))</f>
        <v>47071.5</v>
      </c>
    </row>
    <row r="18" spans="1:7" ht="20.100000000000001" customHeight="1" x14ac:dyDescent="0.25">
      <c r="A18" s="10">
        <v>6</v>
      </c>
      <c r="B18" s="11">
        <v>46268</v>
      </c>
      <c r="C18" s="12" t="s">
        <v>36</v>
      </c>
      <c r="D18" s="12" t="s">
        <v>37</v>
      </c>
      <c r="E18" s="13"/>
      <c r="F18" s="13">
        <v>16000</v>
      </c>
      <c r="G18" s="14">
        <f>IF(AND(ISBLANK(B18), ISBLANK(E18), ISBLANK(F18)), "", SUM($E$13:E18)-SUM($F$13:F18))</f>
        <v>31071.5</v>
      </c>
    </row>
    <row r="19" spans="1:7" ht="20.100000000000001" customHeight="1" x14ac:dyDescent="0.25">
      <c r="A19" s="5">
        <v>7</v>
      </c>
      <c r="B19" s="6">
        <v>46268</v>
      </c>
      <c r="C19" s="7" t="s">
        <v>38</v>
      </c>
      <c r="D19" s="7" t="s">
        <v>39</v>
      </c>
      <c r="E19" s="8"/>
      <c r="F19" s="8">
        <v>16000</v>
      </c>
      <c r="G19" s="9">
        <f>IF(AND(ISBLANK(B19), ISBLANK(E19), ISBLANK(F19)), "", SUM($E$13:E19)-SUM($F$13:F19))</f>
        <v>15071.5</v>
      </c>
    </row>
    <row r="20" spans="1:7" ht="20.100000000000001" customHeight="1" x14ac:dyDescent="0.25">
      <c r="A20" s="10">
        <v>8</v>
      </c>
      <c r="B20" s="11">
        <v>46269</v>
      </c>
      <c r="C20" s="12" t="s">
        <v>41</v>
      </c>
      <c r="D20" s="12" t="s">
        <v>42</v>
      </c>
      <c r="E20" s="13"/>
      <c r="F20" s="13">
        <v>7000</v>
      </c>
      <c r="G20" s="14">
        <f>IF(AND(ISBLANK(B20), ISBLANK(E20), ISBLANK(F20)), "", SUM($E$13:E20)-SUM($F$13:F20))</f>
        <v>8071.5</v>
      </c>
    </row>
    <row r="21" spans="1:7" ht="20.100000000000001" customHeight="1" x14ac:dyDescent="0.25">
      <c r="A21" s="5">
        <v>9</v>
      </c>
      <c r="B21" s="6">
        <v>46269</v>
      </c>
      <c r="C21" s="7" t="s">
        <v>46</v>
      </c>
      <c r="D21" s="7" t="s">
        <v>43</v>
      </c>
      <c r="E21" s="8"/>
      <c r="F21" s="8">
        <v>2000</v>
      </c>
      <c r="G21" s="9">
        <f>IF(AND(ISBLANK(B21), ISBLANK(E21), ISBLANK(F21)), "", SUM($E$13:E21)-SUM($F$13:F21))</f>
        <v>6071.5</v>
      </c>
    </row>
    <row r="22" spans="1:7" ht="20.100000000000001" customHeight="1" x14ac:dyDescent="0.25">
      <c r="A22" s="10">
        <v>10</v>
      </c>
      <c r="B22" s="11">
        <v>46269</v>
      </c>
      <c r="C22" s="12" t="s">
        <v>46</v>
      </c>
      <c r="D22" s="12" t="s">
        <v>44</v>
      </c>
      <c r="E22" s="13"/>
      <c r="F22" s="13">
        <v>2000</v>
      </c>
      <c r="G22" s="14">
        <f>IF(AND(ISBLANK(B22), ISBLANK(E22), ISBLANK(F22)), "", SUM($E$13:E22)-SUM($F$13:F22))</f>
        <v>4071.5</v>
      </c>
    </row>
    <row r="23" spans="1:7" ht="20.100000000000001" customHeight="1" x14ac:dyDescent="0.25">
      <c r="A23" s="5">
        <v>11</v>
      </c>
      <c r="B23" s="6">
        <v>46272</v>
      </c>
      <c r="C23" s="7" t="s">
        <v>45</v>
      </c>
      <c r="D23" s="7" t="s">
        <v>47</v>
      </c>
      <c r="E23" s="8">
        <v>50000</v>
      </c>
      <c r="F23" s="8"/>
      <c r="G23" s="9">
        <f>IF(AND(ISBLANK(B23), ISBLANK(E23), ISBLANK(F23)), "", SUM($E$13:E23)-SUM($F$13:F23))</f>
        <v>54071.5</v>
      </c>
    </row>
    <row r="24" spans="1:7" ht="20.100000000000001" customHeight="1" x14ac:dyDescent="0.25">
      <c r="A24" s="10">
        <v>12</v>
      </c>
      <c r="B24" s="11">
        <v>46272</v>
      </c>
      <c r="C24" s="12" t="s">
        <v>46</v>
      </c>
      <c r="D24" s="12" t="s">
        <v>48</v>
      </c>
      <c r="E24" s="13"/>
      <c r="F24" s="13">
        <v>12000</v>
      </c>
      <c r="G24" s="14">
        <f>IF(AND(ISBLANK(B24), ISBLANK(E24), ISBLANK(F24)), "", SUM($E$13:E24)-SUM($F$13:F24))</f>
        <v>42071.5</v>
      </c>
    </row>
    <row r="25" spans="1:7" ht="20.100000000000001" customHeight="1" x14ac:dyDescent="0.25">
      <c r="A25" s="5">
        <v>13</v>
      </c>
      <c r="B25" s="6"/>
      <c r="C25" s="7"/>
      <c r="D25" s="7"/>
      <c r="E25" s="8"/>
      <c r="F25" s="8"/>
      <c r="G25" s="9" t="str">
        <f>IF(AND(ISBLANK(B25), ISBLANK(E25), ISBLANK(F25)), "", SUM($E$13:E25)-SUM($F$13:F25))</f>
        <v/>
      </c>
    </row>
    <row r="26" spans="1:7" ht="20.100000000000001" customHeight="1" x14ac:dyDescent="0.25">
      <c r="A26" s="10">
        <v>14</v>
      </c>
      <c r="B26" s="11"/>
      <c r="C26" s="12"/>
      <c r="D26" s="12"/>
      <c r="E26" s="13"/>
      <c r="F26" s="13"/>
      <c r="G26" s="14" t="str">
        <f>IF(AND(ISBLANK(B26), ISBLANK(E26), ISBLANK(F26)), "", SUM($E$13:E26)-SUM($F$13:F26))</f>
        <v/>
      </c>
    </row>
    <row r="27" spans="1:7" ht="20.100000000000001" customHeight="1" x14ac:dyDescent="0.25">
      <c r="A27" s="5">
        <v>15</v>
      </c>
      <c r="B27" s="6"/>
      <c r="C27" s="7"/>
      <c r="D27" s="7"/>
      <c r="E27" s="8"/>
      <c r="F27" s="8"/>
      <c r="G27" s="9" t="str">
        <f>IF(AND(ISBLANK(B27), ISBLANK(E27), ISBLANK(F27)), "", SUM($E$13:E27)-SUM($F$13:F27))</f>
        <v/>
      </c>
    </row>
    <row r="28" spans="1:7" ht="20.100000000000001" customHeight="1" x14ac:dyDescent="0.25">
      <c r="A28" s="10">
        <v>16</v>
      </c>
      <c r="B28" s="11"/>
      <c r="C28" s="12"/>
      <c r="D28" s="12"/>
      <c r="E28" s="13"/>
      <c r="F28" s="13"/>
      <c r="G28" s="14" t="str">
        <f>IF(AND(ISBLANK(B28), ISBLANK(E28), ISBLANK(F28)), "", SUM($E$13:E28)-SUM($F$13:F28))</f>
        <v/>
      </c>
    </row>
    <row r="29" spans="1:7" ht="20.100000000000001" customHeight="1" x14ac:dyDescent="0.25">
      <c r="A29" s="5">
        <v>17</v>
      </c>
      <c r="B29" s="6"/>
      <c r="C29" s="7"/>
      <c r="D29" s="7"/>
      <c r="E29" s="8"/>
      <c r="F29" s="8"/>
      <c r="G29" s="9" t="str">
        <f>IF(AND(ISBLANK(B29), ISBLANK(E29), ISBLANK(F29)), "", SUM($E$13:E29)-SUM($F$13:F29))</f>
        <v/>
      </c>
    </row>
    <row r="30" spans="1:7" ht="20.100000000000001" customHeight="1" x14ac:dyDescent="0.25">
      <c r="A30" s="10">
        <v>18</v>
      </c>
      <c r="B30" s="11"/>
      <c r="C30" s="12"/>
      <c r="D30" s="12"/>
      <c r="E30" s="13"/>
      <c r="F30" s="13"/>
      <c r="G30" s="14" t="str">
        <f>IF(AND(ISBLANK(B30), ISBLANK(E30), ISBLANK(F30)), "", SUM($E$13:E30)-SUM($F$13:F30))</f>
        <v/>
      </c>
    </row>
    <row r="31" spans="1:7" ht="20.100000000000001" customHeight="1" x14ac:dyDescent="0.25">
      <c r="A31" s="5">
        <v>19</v>
      </c>
      <c r="B31" s="6"/>
      <c r="C31" s="7"/>
      <c r="D31" s="7"/>
      <c r="E31" s="8"/>
      <c r="F31" s="8"/>
      <c r="G31" s="9" t="str">
        <f>IF(AND(ISBLANK(B31), ISBLANK(E31), ISBLANK(F31)), "", SUM($E$13:E31)-SUM($F$13:F31))</f>
        <v/>
      </c>
    </row>
    <row r="32" spans="1:7" ht="20.100000000000001" customHeight="1" x14ac:dyDescent="0.25">
      <c r="A32" s="10">
        <v>20</v>
      </c>
      <c r="B32" s="11"/>
      <c r="C32" s="12"/>
      <c r="D32" s="12"/>
      <c r="E32" s="13"/>
      <c r="F32" s="13"/>
      <c r="G32" s="14" t="str">
        <f>IF(AND(ISBLANK(B32), ISBLANK(E32), ISBLANK(F32)), "", SUM($E$13:E32)-SUM($F$13:F32))</f>
        <v/>
      </c>
    </row>
    <row r="33" spans="1:7" ht="20.100000000000001" customHeight="1" x14ac:dyDescent="0.25">
      <c r="A33" s="5">
        <v>21</v>
      </c>
      <c r="B33" s="6"/>
      <c r="C33" s="7"/>
      <c r="D33" s="7"/>
      <c r="E33" s="8"/>
      <c r="F33" s="8"/>
      <c r="G33" s="9" t="str">
        <f>IF(AND(ISBLANK(B33), ISBLANK(E33), ISBLANK(F33)), "", SUM($E$13:E33)-SUM($F$13:F33))</f>
        <v/>
      </c>
    </row>
    <row r="34" spans="1:7" ht="20.100000000000001" customHeight="1" x14ac:dyDescent="0.25">
      <c r="A34" s="10">
        <v>22</v>
      </c>
      <c r="B34" s="11"/>
      <c r="C34" s="12"/>
      <c r="D34" s="12"/>
      <c r="E34" s="13"/>
      <c r="F34" s="13"/>
      <c r="G34" s="14" t="str">
        <f>IF(AND(ISBLANK(B34), ISBLANK(E34), ISBLANK(F34)), "", SUM($E$13:E34)-SUM($F$13:F34))</f>
        <v/>
      </c>
    </row>
    <row r="35" spans="1:7" ht="20.100000000000001" customHeight="1" x14ac:dyDescent="0.25">
      <c r="A35" s="5">
        <v>23</v>
      </c>
      <c r="B35" s="6"/>
      <c r="C35" s="7"/>
      <c r="D35" s="7"/>
      <c r="E35" s="8"/>
      <c r="F35" s="8"/>
      <c r="G35" s="9" t="str">
        <f>IF(AND(ISBLANK(B35), ISBLANK(E35), ISBLANK(F35)), "", SUM($E$13:E35)-SUM($F$13:F35))</f>
        <v/>
      </c>
    </row>
    <row r="36" spans="1:7" ht="20.100000000000001" customHeight="1" x14ac:dyDescent="0.25">
      <c r="A36" s="10">
        <v>24</v>
      </c>
      <c r="B36" s="11"/>
      <c r="C36" s="12"/>
      <c r="D36" s="12"/>
      <c r="E36" s="13"/>
      <c r="F36" s="13"/>
      <c r="G36" s="14" t="str">
        <f>IF(AND(ISBLANK(B36), ISBLANK(E36), ISBLANK(F36)), "", SUM($E$13:E36)-SUM($F$13:F36))</f>
        <v/>
      </c>
    </row>
    <row r="37" spans="1:7" ht="20.100000000000001" customHeight="1" x14ac:dyDescent="0.25">
      <c r="A37" s="5">
        <v>25</v>
      </c>
      <c r="B37" s="6"/>
      <c r="C37" s="7"/>
      <c r="D37" s="7"/>
      <c r="E37" s="8"/>
      <c r="F37" s="8"/>
      <c r="G37" s="9" t="str">
        <f>IF(AND(ISBLANK(B37), ISBLANK(E37), ISBLANK(F37)), "", SUM($E$13:E37)-SUM($F$13:F37))</f>
        <v/>
      </c>
    </row>
    <row r="38" spans="1:7" ht="20.100000000000001" customHeight="1" x14ac:dyDescent="0.25">
      <c r="A38" s="10">
        <v>26</v>
      </c>
      <c r="B38" s="11"/>
      <c r="C38" s="12"/>
      <c r="D38" s="12"/>
      <c r="E38" s="13"/>
      <c r="F38" s="13"/>
      <c r="G38" s="14" t="str">
        <f>IF(AND(ISBLANK(B38), ISBLANK(E38), ISBLANK(F38)), "", SUM($E$13:E38)-SUM($F$13:F38))</f>
        <v/>
      </c>
    </row>
    <row r="39" spans="1:7" ht="20.100000000000001" customHeight="1" x14ac:dyDescent="0.25">
      <c r="A39" s="5">
        <v>27</v>
      </c>
      <c r="B39" s="6"/>
      <c r="C39" s="7"/>
      <c r="D39" s="7"/>
      <c r="E39" s="8"/>
      <c r="F39" s="8"/>
      <c r="G39" s="9" t="str">
        <f>IF(AND(ISBLANK(B39), ISBLANK(E39), ISBLANK(F39)), "", SUM($E$13:E39)-SUM($F$13:F39))</f>
        <v/>
      </c>
    </row>
    <row r="40" spans="1:7" ht="20.100000000000001" customHeight="1" x14ac:dyDescent="0.25">
      <c r="A40" s="10">
        <v>28</v>
      </c>
      <c r="B40" s="11"/>
      <c r="C40" s="12"/>
      <c r="D40" s="12"/>
      <c r="E40" s="13"/>
      <c r="F40" s="13"/>
      <c r="G40" s="14" t="str">
        <f>IF(AND(ISBLANK(B40), ISBLANK(E40), ISBLANK(F40)), "", SUM($E$13:E40)-SUM($F$13:F40))</f>
        <v/>
      </c>
    </row>
    <row r="41" spans="1:7" ht="20.100000000000001" customHeight="1" x14ac:dyDescent="0.25">
      <c r="A41" s="5">
        <v>29</v>
      </c>
      <c r="B41" s="6"/>
      <c r="C41" s="7"/>
      <c r="D41" s="7"/>
      <c r="E41" s="8"/>
      <c r="F41" s="8"/>
      <c r="G41" s="9" t="str">
        <f>IF(AND(ISBLANK(B41), ISBLANK(E41), ISBLANK(F41)), "", SUM($E$13:E41)-SUM($F$13:F41))</f>
        <v/>
      </c>
    </row>
    <row r="42" spans="1:7" ht="20.100000000000001" customHeight="1" x14ac:dyDescent="0.25">
      <c r="A42" s="10">
        <v>30</v>
      </c>
      <c r="B42" s="11"/>
      <c r="C42" s="12"/>
      <c r="D42" s="12"/>
      <c r="E42" s="13"/>
      <c r="F42" s="13"/>
      <c r="G42" s="14" t="str">
        <f>IF(AND(ISBLANK(B42), ISBLANK(E42), ISBLANK(F42)), "", SUM($E$13:E42)-SUM($F$13:F42))</f>
        <v/>
      </c>
    </row>
    <row r="43" spans="1:7" ht="20.100000000000001" customHeight="1" x14ac:dyDescent="0.25">
      <c r="A43" s="5">
        <v>31</v>
      </c>
      <c r="B43" s="6"/>
      <c r="C43" s="7"/>
      <c r="D43" s="7"/>
      <c r="E43" s="8"/>
      <c r="F43" s="8"/>
      <c r="G43" s="9" t="str">
        <f>IF(AND(ISBLANK(B43), ISBLANK(E43), ISBLANK(F43)), "", SUM($E$13:E43)-SUM($F$13:F43))</f>
        <v/>
      </c>
    </row>
    <row r="44" spans="1:7" ht="20.100000000000001" customHeight="1" x14ac:dyDescent="0.25">
      <c r="A44" s="10">
        <v>32</v>
      </c>
      <c r="B44" s="11"/>
      <c r="C44" s="12"/>
      <c r="D44" s="12"/>
      <c r="E44" s="13"/>
      <c r="F44" s="13"/>
      <c r="G44" s="14" t="str">
        <f>IF(AND(ISBLANK(B44), ISBLANK(E44), ISBLANK(F44)), "", SUM($E$13:E44)-SUM($F$13:F44))</f>
        <v/>
      </c>
    </row>
    <row r="45" spans="1:7" ht="20.100000000000001" customHeight="1" x14ac:dyDescent="0.25">
      <c r="A45" s="5">
        <v>33</v>
      </c>
      <c r="B45" s="6"/>
      <c r="C45" s="7"/>
      <c r="D45" s="7"/>
      <c r="E45" s="8"/>
      <c r="F45" s="8"/>
      <c r="G45" s="9" t="str">
        <f>IF(AND(ISBLANK(B45), ISBLANK(E45), ISBLANK(F45)), "", SUM($E$13:E45)-SUM($F$13:F45))</f>
        <v/>
      </c>
    </row>
    <row r="46" spans="1:7" ht="20.100000000000001" customHeight="1" x14ac:dyDescent="0.25">
      <c r="A46" s="10">
        <v>34</v>
      </c>
      <c r="B46" s="11"/>
      <c r="C46" s="12"/>
      <c r="D46" s="12"/>
      <c r="E46" s="13"/>
      <c r="F46" s="13"/>
      <c r="G46" s="14" t="str">
        <f>IF(AND(ISBLANK(B46), ISBLANK(E46), ISBLANK(F46)), "", SUM($E$13:E46)-SUM($F$13:F46))</f>
        <v/>
      </c>
    </row>
    <row r="47" spans="1:7" ht="20.100000000000001" customHeight="1" x14ac:dyDescent="0.25">
      <c r="A47" s="5">
        <v>35</v>
      </c>
      <c r="B47" s="6"/>
      <c r="C47" s="7"/>
      <c r="D47" s="7"/>
      <c r="E47" s="8"/>
      <c r="F47" s="8"/>
      <c r="G47" s="9" t="str">
        <f>IF(AND(ISBLANK(B47), ISBLANK(E47), ISBLANK(F47)), "", SUM($E$13:E47)-SUM($F$13:F47))</f>
        <v/>
      </c>
    </row>
    <row r="48" spans="1:7" ht="20.100000000000001" customHeight="1" x14ac:dyDescent="0.25">
      <c r="A48" s="10">
        <v>36</v>
      </c>
      <c r="B48" s="11"/>
      <c r="C48" s="12"/>
      <c r="D48" s="12"/>
      <c r="E48" s="13"/>
      <c r="F48" s="13"/>
      <c r="G48" s="14" t="str">
        <f>IF(AND(ISBLANK(B48), ISBLANK(E48), ISBLANK(F48)), "", SUM($E$13:E48)-SUM($F$13:F48))</f>
        <v/>
      </c>
    </row>
    <row r="49" spans="1:7" ht="20.100000000000001" customHeight="1" x14ac:dyDescent="0.25">
      <c r="A49" s="5">
        <v>37</v>
      </c>
      <c r="B49" s="6"/>
      <c r="C49" s="7"/>
      <c r="D49" s="7"/>
      <c r="E49" s="8"/>
      <c r="F49" s="8"/>
      <c r="G49" s="9" t="str">
        <f>IF(AND(ISBLANK(B49), ISBLANK(E49), ISBLANK(F49)), "", SUM($E$13:E49)-SUM($F$13:F49))</f>
        <v/>
      </c>
    </row>
    <row r="50" spans="1:7" ht="20.100000000000001" customHeight="1" x14ac:dyDescent="0.25">
      <c r="A50" s="10">
        <v>38</v>
      </c>
      <c r="B50" s="11"/>
      <c r="C50" s="12"/>
      <c r="D50" s="12"/>
      <c r="E50" s="13"/>
      <c r="F50" s="13"/>
      <c r="G50" s="14" t="str">
        <f>IF(AND(ISBLANK(B50), ISBLANK(E50), ISBLANK(F50)), "", SUM($E$13:E50)-SUM($F$13:F50))</f>
        <v/>
      </c>
    </row>
    <row r="51" spans="1:7" ht="20.100000000000001" customHeight="1" x14ac:dyDescent="0.25">
      <c r="A51" s="5">
        <v>39</v>
      </c>
      <c r="B51" s="6"/>
      <c r="C51" s="7"/>
      <c r="D51" s="7"/>
      <c r="E51" s="8"/>
      <c r="F51" s="8"/>
      <c r="G51" s="9" t="str">
        <f>IF(AND(ISBLANK(B51), ISBLANK(E51), ISBLANK(F51)), "", SUM($E$13:E51)-SUM($F$13:F51))</f>
        <v/>
      </c>
    </row>
    <row r="52" spans="1:7" ht="20.100000000000001" customHeight="1" x14ac:dyDescent="0.25">
      <c r="A52" s="10">
        <v>40</v>
      </c>
      <c r="B52" s="11"/>
      <c r="C52" s="12"/>
      <c r="D52" s="12"/>
      <c r="E52" s="13"/>
      <c r="F52" s="13"/>
      <c r="G52" s="14" t="str">
        <f>IF(AND(ISBLANK(B52), ISBLANK(E52), ISBLANK(F52)), "", SUM($E$13:E52)-SUM($F$13:F52))</f>
        <v/>
      </c>
    </row>
    <row r="53" spans="1:7" ht="20.100000000000001" customHeight="1" x14ac:dyDescent="0.25">
      <c r="A53" s="5">
        <v>41</v>
      </c>
      <c r="B53" s="6"/>
      <c r="C53" s="7"/>
      <c r="D53" s="7"/>
      <c r="E53" s="8"/>
      <c r="F53" s="8"/>
      <c r="G53" s="9" t="str">
        <f>IF(AND(ISBLANK(B53), ISBLANK(E53), ISBLANK(F53)), "", SUM($E$13:E53)-SUM($F$13:F53))</f>
        <v/>
      </c>
    </row>
    <row r="54" spans="1:7" ht="20.100000000000001" customHeight="1" x14ac:dyDescent="0.25">
      <c r="A54" s="10">
        <v>42</v>
      </c>
      <c r="B54" s="11"/>
      <c r="C54" s="12"/>
      <c r="D54" s="12"/>
      <c r="E54" s="13"/>
      <c r="F54" s="13"/>
      <c r="G54" s="14" t="str">
        <f>IF(AND(ISBLANK(B54), ISBLANK(E54), ISBLANK(F54)), "", SUM($E$13:E54)-SUM($F$13:F54))</f>
        <v/>
      </c>
    </row>
    <row r="55" spans="1:7" ht="20.100000000000001" customHeight="1" x14ac:dyDescent="0.25">
      <c r="A55" s="5">
        <v>43</v>
      </c>
      <c r="B55" s="6"/>
      <c r="C55" s="7"/>
      <c r="D55" s="7"/>
      <c r="E55" s="8"/>
      <c r="F55" s="8"/>
      <c r="G55" s="9" t="str">
        <f>IF(AND(ISBLANK(B55), ISBLANK(E55), ISBLANK(F55)), "", SUM($E$13:E55)-SUM($F$13:F55))</f>
        <v/>
      </c>
    </row>
    <row r="56" spans="1:7" ht="20.100000000000001" customHeight="1" x14ac:dyDescent="0.25">
      <c r="A56" s="10">
        <v>44</v>
      </c>
      <c r="B56" s="11"/>
      <c r="C56" s="12"/>
      <c r="D56" s="12"/>
      <c r="E56" s="13"/>
      <c r="F56" s="13"/>
      <c r="G56" s="14" t="str">
        <f>IF(AND(ISBLANK(B56), ISBLANK(E56), ISBLANK(F56)), "", SUM($E$13:E56)-SUM($F$13:F56))</f>
        <v/>
      </c>
    </row>
    <row r="57" spans="1:7" ht="20.100000000000001" customHeight="1" x14ac:dyDescent="0.25">
      <c r="A57" s="5">
        <v>45</v>
      </c>
      <c r="B57" s="6"/>
      <c r="C57" s="7"/>
      <c r="D57" s="7"/>
      <c r="E57" s="8"/>
      <c r="F57" s="8"/>
      <c r="G57" s="9" t="str">
        <f>IF(AND(ISBLANK(B57), ISBLANK(E57), ISBLANK(F57)), "", SUM($E$13:E57)-SUM($F$13:F57))</f>
        <v/>
      </c>
    </row>
    <row r="58" spans="1:7" ht="20.100000000000001" customHeight="1" x14ac:dyDescent="0.25">
      <c r="A58" s="10">
        <v>46</v>
      </c>
      <c r="B58" s="11"/>
      <c r="C58" s="12"/>
      <c r="D58" s="12"/>
      <c r="E58" s="13"/>
      <c r="F58" s="13"/>
      <c r="G58" s="14" t="str">
        <f>IF(AND(ISBLANK(B58), ISBLANK(E58), ISBLANK(F58)), "", SUM($E$13:E58)-SUM($F$13:F58))</f>
        <v/>
      </c>
    </row>
    <row r="59" spans="1:7" ht="20.100000000000001" customHeight="1" x14ac:dyDescent="0.25">
      <c r="A59" s="5">
        <v>47</v>
      </c>
      <c r="B59" s="6"/>
      <c r="C59" s="7"/>
      <c r="D59" s="7"/>
      <c r="E59" s="8"/>
      <c r="F59" s="8"/>
      <c r="G59" s="9" t="str">
        <f>IF(AND(ISBLANK(B59), ISBLANK(E59), ISBLANK(F59)), "", SUM($E$13:E59)-SUM($F$13:F59))</f>
        <v/>
      </c>
    </row>
    <row r="60" spans="1:7" ht="20.100000000000001" customHeight="1" x14ac:dyDescent="0.25">
      <c r="A60" s="10">
        <v>48</v>
      </c>
      <c r="B60" s="11"/>
      <c r="C60" s="12"/>
      <c r="D60" s="12"/>
      <c r="E60" s="13"/>
      <c r="F60" s="13"/>
      <c r="G60" s="14" t="str">
        <f>IF(AND(ISBLANK(B60), ISBLANK(E60), ISBLANK(F60)), "", SUM($E$13:E60)-SUM($F$13:F60))</f>
        <v/>
      </c>
    </row>
    <row r="61" spans="1:7" ht="20.100000000000001" customHeight="1" x14ac:dyDescent="0.25">
      <c r="A61" s="5">
        <v>49</v>
      </c>
      <c r="B61" s="6"/>
      <c r="C61" s="7"/>
      <c r="D61" s="7"/>
      <c r="E61" s="8"/>
      <c r="F61" s="8"/>
      <c r="G61" s="9" t="str">
        <f>IF(AND(ISBLANK(B61), ISBLANK(E61), ISBLANK(F61)), "", SUM($E$13:E61)-SUM($F$13:F61))</f>
        <v/>
      </c>
    </row>
    <row r="62" spans="1:7" ht="20.100000000000001" customHeight="1" x14ac:dyDescent="0.25">
      <c r="A62" s="10">
        <v>50</v>
      </c>
      <c r="B62" s="11"/>
      <c r="C62" s="12"/>
      <c r="D62" s="12"/>
      <c r="E62" s="13"/>
      <c r="F62" s="13"/>
      <c r="G62" s="14" t="str">
        <f>IF(AND(ISBLANK(B62), ISBLANK(E62), ISBLANK(F62)), "", SUM($E$13:E62)-SUM($F$13:F62))</f>
        <v/>
      </c>
    </row>
    <row r="63" spans="1:7" ht="20.100000000000001" customHeight="1" x14ac:dyDescent="0.25">
      <c r="A63" s="5">
        <v>51</v>
      </c>
      <c r="B63" s="6"/>
      <c r="C63" s="7"/>
      <c r="D63" s="7"/>
      <c r="E63" s="8"/>
      <c r="F63" s="8"/>
      <c r="G63" s="9" t="str">
        <f>IF(AND(ISBLANK(B63), ISBLANK(E63), ISBLANK(F63)), "", SUM($E$13:E63)-SUM($F$13:F63))</f>
        <v/>
      </c>
    </row>
    <row r="64" spans="1:7" ht="20.100000000000001" customHeight="1" x14ac:dyDescent="0.25">
      <c r="A64" s="10">
        <v>52</v>
      </c>
      <c r="B64" s="11"/>
      <c r="C64" s="12"/>
      <c r="D64" s="12"/>
      <c r="E64" s="13"/>
      <c r="F64" s="13"/>
      <c r="G64" s="14" t="str">
        <f>IF(AND(ISBLANK(B64), ISBLANK(E64), ISBLANK(F64)), "", SUM($E$13:E64)-SUM($F$13:F64))</f>
        <v/>
      </c>
    </row>
    <row r="65" spans="1:7" ht="20.100000000000001" customHeight="1" x14ac:dyDescent="0.25">
      <c r="A65" s="5">
        <v>53</v>
      </c>
      <c r="B65" s="6"/>
      <c r="C65" s="7"/>
      <c r="D65" s="7"/>
      <c r="E65" s="8"/>
      <c r="F65" s="8"/>
      <c r="G65" s="9" t="str">
        <f>IF(AND(ISBLANK(B65), ISBLANK(E65), ISBLANK(F65)), "", SUM($E$13:E65)-SUM($F$13:F65))</f>
        <v/>
      </c>
    </row>
    <row r="66" spans="1:7" ht="20.100000000000001" customHeight="1" x14ac:dyDescent="0.25">
      <c r="A66" s="10">
        <v>54</v>
      </c>
      <c r="B66" s="11"/>
      <c r="C66" s="12"/>
      <c r="D66" s="12"/>
      <c r="E66" s="13"/>
      <c r="F66" s="13"/>
      <c r="G66" s="14" t="str">
        <f>IF(AND(ISBLANK(B66), ISBLANK(E66), ISBLANK(F66)), "", SUM($E$13:E66)-SUM($F$13:F66))</f>
        <v/>
      </c>
    </row>
    <row r="67" spans="1:7" ht="20.100000000000001" customHeight="1" x14ac:dyDescent="0.25">
      <c r="A67" s="5">
        <v>55</v>
      </c>
      <c r="B67" s="6"/>
      <c r="C67" s="7"/>
      <c r="D67" s="7"/>
      <c r="E67" s="8"/>
      <c r="F67" s="8"/>
      <c r="G67" s="9" t="str">
        <f>IF(AND(ISBLANK(B67), ISBLANK(E67), ISBLANK(F67)), "", SUM($E$13:E67)-SUM($F$13:F67))</f>
        <v/>
      </c>
    </row>
    <row r="68" spans="1:7" ht="20.100000000000001" customHeight="1" x14ac:dyDescent="0.25">
      <c r="A68" s="10">
        <v>56</v>
      </c>
      <c r="B68" s="11"/>
      <c r="C68" s="12"/>
      <c r="D68" s="12"/>
      <c r="E68" s="13"/>
      <c r="F68" s="13"/>
      <c r="G68" s="14" t="str">
        <f>IF(AND(ISBLANK(B68), ISBLANK(E68), ISBLANK(F68)), "", SUM($E$13:E68)-SUM($F$13:F68))</f>
        <v/>
      </c>
    </row>
    <row r="69" spans="1:7" ht="20.100000000000001" customHeight="1" x14ac:dyDescent="0.25">
      <c r="A69" s="5">
        <v>57</v>
      </c>
      <c r="B69" s="6"/>
      <c r="C69" s="7"/>
      <c r="D69" s="7"/>
      <c r="E69" s="8"/>
      <c r="F69" s="8"/>
      <c r="G69" s="9" t="str">
        <f>IF(AND(ISBLANK(B69), ISBLANK(E69), ISBLANK(F69)), "", SUM($E$13:E69)-SUM($F$13:F69))</f>
        <v/>
      </c>
    </row>
    <row r="70" spans="1:7" ht="20.100000000000001" customHeight="1" x14ac:dyDescent="0.25">
      <c r="A70" s="10">
        <v>58</v>
      </c>
      <c r="B70" s="11"/>
      <c r="C70" s="12"/>
      <c r="D70" s="12"/>
      <c r="E70" s="13"/>
      <c r="F70" s="13"/>
      <c r="G70" s="14" t="str">
        <f>IF(AND(ISBLANK(B70), ISBLANK(E70), ISBLANK(F70)), "", SUM($E$13:E70)-SUM($F$13:F70))</f>
        <v/>
      </c>
    </row>
    <row r="71" spans="1:7" ht="20.100000000000001" customHeight="1" x14ac:dyDescent="0.25">
      <c r="A71" s="5">
        <v>59</v>
      </c>
      <c r="B71" s="6"/>
      <c r="C71" s="7"/>
      <c r="D71" s="7"/>
      <c r="E71" s="8"/>
      <c r="F71" s="8"/>
      <c r="G71" s="9" t="str">
        <f>IF(AND(ISBLANK(B71), ISBLANK(E71), ISBLANK(F71)), "", SUM($E$13:E71)-SUM($F$13:F71))</f>
        <v/>
      </c>
    </row>
    <row r="72" spans="1:7" ht="20.100000000000001" customHeight="1" x14ac:dyDescent="0.25">
      <c r="A72" s="10">
        <v>60</v>
      </c>
      <c r="B72" s="11"/>
      <c r="C72" s="12"/>
      <c r="D72" s="12"/>
      <c r="E72" s="13"/>
      <c r="F72" s="13"/>
      <c r="G72" s="14" t="str">
        <f>IF(AND(ISBLANK(B72), ISBLANK(E72), ISBLANK(F72)), "", SUM($E$13:E72)-SUM($F$13:F72))</f>
        <v/>
      </c>
    </row>
    <row r="73" spans="1:7" ht="20.100000000000001" customHeight="1" x14ac:dyDescent="0.25">
      <c r="A73" s="5">
        <v>61</v>
      </c>
      <c r="B73" s="6"/>
      <c r="C73" s="7"/>
      <c r="D73" s="7"/>
      <c r="E73" s="8"/>
      <c r="F73" s="8"/>
      <c r="G73" s="9" t="str">
        <f>IF(AND(ISBLANK(B73), ISBLANK(E73), ISBLANK(F73)), "", SUM($E$13:E73)-SUM($F$13:F73))</f>
        <v/>
      </c>
    </row>
    <row r="74" spans="1:7" ht="20.100000000000001" customHeight="1" x14ac:dyDescent="0.25">
      <c r="A74" s="10">
        <v>62</v>
      </c>
      <c r="B74" s="11"/>
      <c r="C74" s="12"/>
      <c r="D74" s="12"/>
      <c r="E74" s="13"/>
      <c r="F74" s="13"/>
      <c r="G74" s="14" t="str">
        <f>IF(AND(ISBLANK(B74), ISBLANK(E74), ISBLANK(F74)), "", SUM($E$13:E74)-SUM($F$13:F74))</f>
        <v/>
      </c>
    </row>
    <row r="75" spans="1:7" ht="20.100000000000001" customHeight="1" x14ac:dyDescent="0.25">
      <c r="A75" s="5">
        <v>63</v>
      </c>
      <c r="B75" s="6"/>
      <c r="C75" s="7"/>
      <c r="D75" s="7"/>
      <c r="E75" s="8"/>
      <c r="F75" s="8"/>
      <c r="G75" s="9" t="str">
        <f>IF(AND(ISBLANK(B75), ISBLANK(E75), ISBLANK(F75)), "", SUM($E$13:E75)-SUM($F$13:F75))</f>
        <v/>
      </c>
    </row>
    <row r="76" spans="1:7" ht="20.100000000000001" customHeight="1" x14ac:dyDescent="0.25">
      <c r="A76" s="10">
        <v>64</v>
      </c>
      <c r="B76" s="11"/>
      <c r="C76" s="12"/>
      <c r="D76" s="12"/>
      <c r="E76" s="13"/>
      <c r="F76" s="13"/>
      <c r="G76" s="14" t="str">
        <f>IF(AND(ISBLANK(B76), ISBLANK(E76), ISBLANK(F76)), "", SUM($E$13:E76)-SUM($F$13:F76))</f>
        <v/>
      </c>
    </row>
    <row r="77" spans="1:7" ht="20.100000000000001" customHeight="1" x14ac:dyDescent="0.25">
      <c r="A77" s="5">
        <v>65</v>
      </c>
      <c r="B77" s="6"/>
      <c r="C77" s="7"/>
      <c r="D77" s="7"/>
      <c r="E77" s="8"/>
      <c r="F77" s="8"/>
      <c r="G77" s="9" t="str">
        <f>IF(AND(ISBLANK(B77), ISBLANK(E77), ISBLANK(F77)), "", SUM($E$13:E77)-SUM($F$13:F77))</f>
        <v/>
      </c>
    </row>
    <row r="78" spans="1:7" ht="20.100000000000001" customHeight="1" x14ac:dyDescent="0.25">
      <c r="A78" s="10">
        <v>66</v>
      </c>
      <c r="B78" s="11"/>
      <c r="C78" s="12"/>
      <c r="D78" s="12"/>
      <c r="E78" s="13"/>
      <c r="F78" s="13"/>
      <c r="G78" s="14" t="str">
        <f>IF(AND(ISBLANK(B78), ISBLANK(E78), ISBLANK(F78)), "", SUM($E$13:E78)-SUM($F$13:F78))</f>
        <v/>
      </c>
    </row>
    <row r="79" spans="1:7" ht="20.100000000000001" customHeight="1" x14ac:dyDescent="0.25">
      <c r="A79" s="5">
        <v>67</v>
      </c>
      <c r="B79" s="6"/>
      <c r="C79" s="7"/>
      <c r="D79" s="7"/>
      <c r="E79" s="8"/>
      <c r="F79" s="8"/>
      <c r="G79" s="9" t="str">
        <f>IF(AND(ISBLANK(B79), ISBLANK(E79), ISBLANK(F79)), "", SUM($E$13:E79)-SUM($F$13:F79))</f>
        <v/>
      </c>
    </row>
    <row r="80" spans="1:7" ht="20.100000000000001" customHeight="1" x14ac:dyDescent="0.25">
      <c r="A80" s="10">
        <v>68</v>
      </c>
      <c r="B80" s="11"/>
      <c r="C80" s="12"/>
      <c r="D80" s="12"/>
      <c r="E80" s="13"/>
      <c r="F80" s="13"/>
      <c r="G80" s="14" t="str">
        <f>IF(AND(ISBLANK(B80), ISBLANK(E80), ISBLANK(F80)), "", SUM($E$13:E80)-SUM($F$13:F80))</f>
        <v/>
      </c>
    </row>
    <row r="81" spans="1:7" ht="20.100000000000001" customHeight="1" x14ac:dyDescent="0.25">
      <c r="A81" s="5">
        <v>69</v>
      </c>
      <c r="B81" s="6"/>
      <c r="C81" s="7"/>
      <c r="D81" s="7"/>
      <c r="E81" s="8"/>
      <c r="F81" s="8"/>
      <c r="G81" s="9" t="str">
        <f>IF(AND(ISBLANK(B81), ISBLANK(E81), ISBLANK(F81)), "", SUM($E$13:E81)-SUM($F$13:F81))</f>
        <v/>
      </c>
    </row>
    <row r="82" spans="1:7" ht="20.100000000000001" customHeight="1" x14ac:dyDescent="0.25">
      <c r="A82" s="10">
        <v>70</v>
      </c>
      <c r="B82" s="11"/>
      <c r="C82" s="12"/>
      <c r="D82" s="12"/>
      <c r="E82" s="13"/>
      <c r="F82" s="13"/>
      <c r="G82" s="14" t="str">
        <f>IF(AND(ISBLANK(B82), ISBLANK(E82), ISBLANK(F82)), "", SUM($E$13:E82)-SUM($F$13:F82))</f>
        <v/>
      </c>
    </row>
    <row r="83" spans="1:7" ht="20.100000000000001" customHeight="1" x14ac:dyDescent="0.25">
      <c r="A83" s="5">
        <v>71</v>
      </c>
      <c r="B83" s="6"/>
      <c r="C83" s="7"/>
      <c r="D83" s="7"/>
      <c r="E83" s="8"/>
      <c r="F83" s="8"/>
      <c r="G83" s="9" t="str">
        <f>IF(AND(ISBLANK(B83), ISBLANK(E83), ISBLANK(F83)), "", SUM($E$13:E83)-SUM($F$13:F83))</f>
        <v/>
      </c>
    </row>
    <row r="84" spans="1:7" ht="20.100000000000001" customHeight="1" x14ac:dyDescent="0.25">
      <c r="A84" s="10">
        <v>72</v>
      </c>
      <c r="B84" s="11"/>
      <c r="C84" s="12"/>
      <c r="D84" s="12"/>
      <c r="E84" s="13"/>
      <c r="F84" s="13"/>
      <c r="G84" s="14" t="str">
        <f>IF(AND(ISBLANK(B84), ISBLANK(E84), ISBLANK(F84)), "", SUM($E$13:E84)-SUM($F$13:F84))</f>
        <v/>
      </c>
    </row>
    <row r="85" spans="1:7" ht="20.100000000000001" customHeight="1" x14ac:dyDescent="0.25">
      <c r="A85" s="5">
        <v>73</v>
      </c>
      <c r="B85" s="6"/>
      <c r="C85" s="7"/>
      <c r="D85" s="7"/>
      <c r="E85" s="8"/>
      <c r="F85" s="8"/>
      <c r="G85" s="9" t="str">
        <f>IF(AND(ISBLANK(B85), ISBLANK(E85), ISBLANK(F85)), "", SUM($E$13:E85)-SUM($F$13:F85))</f>
        <v/>
      </c>
    </row>
    <row r="86" spans="1:7" ht="20.100000000000001" customHeight="1" x14ac:dyDescent="0.25">
      <c r="A86" s="10">
        <v>74</v>
      </c>
      <c r="B86" s="11"/>
      <c r="C86" s="12"/>
      <c r="D86" s="12"/>
      <c r="E86" s="13"/>
      <c r="F86" s="13"/>
      <c r="G86" s="14" t="str">
        <f>IF(AND(ISBLANK(B86), ISBLANK(E86), ISBLANK(F86)), "", SUM($E$13:E86)-SUM($F$13:F86))</f>
        <v/>
      </c>
    </row>
    <row r="87" spans="1:7" ht="20.100000000000001" customHeight="1" x14ac:dyDescent="0.25">
      <c r="A87" s="5">
        <v>75</v>
      </c>
      <c r="B87" s="6"/>
      <c r="C87" s="7"/>
      <c r="D87" s="7"/>
      <c r="E87" s="8"/>
      <c r="F87" s="8"/>
      <c r="G87" s="9" t="str">
        <f>IF(AND(ISBLANK(B87), ISBLANK(E87), ISBLANK(F87)), "", SUM($E$13:E87)-SUM($F$13:F87))</f>
        <v/>
      </c>
    </row>
    <row r="88" spans="1:7" ht="20.100000000000001" customHeight="1" x14ac:dyDescent="0.25">
      <c r="A88" s="10">
        <v>76</v>
      </c>
      <c r="B88" s="11"/>
      <c r="C88" s="12"/>
      <c r="D88" s="12"/>
      <c r="E88" s="13"/>
      <c r="F88" s="13"/>
      <c r="G88" s="14" t="str">
        <f>IF(AND(ISBLANK(B88), ISBLANK(E88), ISBLANK(F88)), "", SUM($E$13:E88)-SUM($F$13:F88))</f>
        <v/>
      </c>
    </row>
    <row r="89" spans="1:7" ht="20.100000000000001" customHeight="1" x14ac:dyDescent="0.25">
      <c r="A89" s="5">
        <v>77</v>
      </c>
      <c r="B89" s="6"/>
      <c r="C89" s="7"/>
      <c r="D89" s="7"/>
      <c r="E89" s="8"/>
      <c r="F89" s="8"/>
      <c r="G89" s="9" t="str">
        <f>IF(AND(ISBLANK(B89), ISBLANK(E89), ISBLANK(F89)), "", SUM($E$13:E89)-SUM($F$13:F89))</f>
        <v/>
      </c>
    </row>
    <row r="90" spans="1:7" ht="20.100000000000001" customHeight="1" x14ac:dyDescent="0.25">
      <c r="A90" s="10">
        <v>78</v>
      </c>
      <c r="B90" s="11"/>
      <c r="C90" s="12"/>
      <c r="D90" s="12"/>
      <c r="E90" s="13"/>
      <c r="F90" s="13"/>
      <c r="G90" s="14" t="str">
        <f>IF(AND(ISBLANK(B90), ISBLANK(E90), ISBLANK(F90)), "", SUM($E$13:E90)-SUM($F$13:F90))</f>
        <v/>
      </c>
    </row>
    <row r="91" spans="1:7" ht="20.100000000000001" customHeight="1" x14ac:dyDescent="0.25">
      <c r="A91" s="5">
        <v>79</v>
      </c>
      <c r="B91" s="6"/>
      <c r="C91" s="7"/>
      <c r="D91" s="7"/>
      <c r="E91" s="8"/>
      <c r="F91" s="8"/>
      <c r="G91" s="9" t="str">
        <f>IF(AND(ISBLANK(B91), ISBLANK(E91), ISBLANK(F91)), "", SUM($E$13:E91)-SUM($F$13:F91))</f>
        <v/>
      </c>
    </row>
    <row r="92" spans="1:7" ht="20.100000000000001" customHeight="1" x14ac:dyDescent="0.25">
      <c r="A92" s="10">
        <v>80</v>
      </c>
      <c r="B92" s="11"/>
      <c r="C92" s="12"/>
      <c r="D92" s="12"/>
      <c r="E92" s="13"/>
      <c r="F92" s="13"/>
      <c r="G92" s="14" t="str">
        <f>IF(AND(ISBLANK(B92), ISBLANK(E92), ISBLANK(F92)), "", SUM($E$13:E92)-SUM($F$13:F92))</f>
        <v/>
      </c>
    </row>
    <row r="93" spans="1:7" ht="20.100000000000001" customHeight="1" x14ac:dyDescent="0.25">
      <c r="A93" s="5">
        <v>81</v>
      </c>
      <c r="B93" s="6"/>
      <c r="C93" s="7"/>
      <c r="D93" s="7"/>
      <c r="E93" s="8"/>
      <c r="F93" s="8"/>
      <c r="G93" s="9" t="str">
        <f>IF(AND(ISBLANK(B93), ISBLANK(E93), ISBLANK(F93)), "", SUM($E$13:E93)-SUM($F$13:F93))</f>
        <v/>
      </c>
    </row>
    <row r="94" spans="1:7" ht="20.100000000000001" customHeight="1" x14ac:dyDescent="0.25">
      <c r="A94" s="10">
        <v>82</v>
      </c>
      <c r="B94" s="11"/>
      <c r="C94" s="12"/>
      <c r="D94" s="12"/>
      <c r="E94" s="13"/>
      <c r="F94" s="13"/>
      <c r="G94" s="14" t="str">
        <f>IF(AND(ISBLANK(B94), ISBLANK(E94), ISBLANK(F94)), "", SUM($E$13:E94)-SUM($F$13:F94))</f>
        <v/>
      </c>
    </row>
    <row r="95" spans="1:7" ht="20.100000000000001" customHeight="1" x14ac:dyDescent="0.25">
      <c r="A95" s="5">
        <v>83</v>
      </c>
      <c r="B95" s="6"/>
      <c r="C95" s="7"/>
      <c r="D95" s="7"/>
      <c r="E95" s="8"/>
      <c r="F95" s="8"/>
      <c r="G95" s="9" t="str">
        <f>IF(AND(ISBLANK(B95), ISBLANK(E95), ISBLANK(F95)), "", SUM($E$13:E95)-SUM($F$13:F95))</f>
        <v/>
      </c>
    </row>
    <row r="96" spans="1:7" ht="20.100000000000001" customHeight="1" x14ac:dyDescent="0.25">
      <c r="A96" s="10">
        <v>84</v>
      </c>
      <c r="B96" s="11"/>
      <c r="C96" s="12"/>
      <c r="D96" s="12"/>
      <c r="E96" s="13"/>
      <c r="F96" s="13"/>
      <c r="G96" s="14" t="str">
        <f>IF(AND(ISBLANK(B96), ISBLANK(E96), ISBLANK(F96)), "", SUM($E$13:E96)-SUM($F$13:F96))</f>
        <v/>
      </c>
    </row>
    <row r="97" spans="1:7" ht="20.100000000000001" customHeight="1" x14ac:dyDescent="0.25">
      <c r="A97" s="5">
        <v>85</v>
      </c>
      <c r="B97" s="6"/>
      <c r="C97" s="7"/>
      <c r="D97" s="7"/>
      <c r="E97" s="8"/>
      <c r="F97" s="8"/>
      <c r="G97" s="9" t="str">
        <f>IF(AND(ISBLANK(B97), ISBLANK(E97), ISBLANK(F97)), "", SUM($E$13:E97)-SUM($F$13:F97))</f>
        <v/>
      </c>
    </row>
    <row r="98" spans="1:7" ht="20.100000000000001" customHeight="1" x14ac:dyDescent="0.25">
      <c r="A98" s="10">
        <v>86</v>
      </c>
      <c r="B98" s="11"/>
      <c r="C98" s="12"/>
      <c r="D98" s="12"/>
      <c r="E98" s="13"/>
      <c r="F98" s="13"/>
      <c r="G98" s="14" t="str">
        <f>IF(AND(ISBLANK(B98), ISBLANK(E98), ISBLANK(F98)), "", SUM($E$13:E98)-SUM($F$13:F98))</f>
        <v/>
      </c>
    </row>
    <row r="99" spans="1:7" ht="20.100000000000001" customHeight="1" x14ac:dyDescent="0.25">
      <c r="A99" s="5">
        <v>87</v>
      </c>
      <c r="B99" s="6"/>
      <c r="C99" s="7"/>
      <c r="D99" s="7"/>
      <c r="E99" s="8"/>
      <c r="F99" s="8"/>
      <c r="G99" s="9" t="str">
        <f>IF(AND(ISBLANK(B99), ISBLANK(E99), ISBLANK(F99)), "", SUM($E$13:E99)-SUM($F$13:F99))</f>
        <v/>
      </c>
    </row>
    <row r="100" spans="1:7" ht="20.100000000000001" customHeight="1" x14ac:dyDescent="0.25">
      <c r="A100" s="10">
        <v>88</v>
      </c>
      <c r="B100" s="11"/>
      <c r="C100" s="12"/>
      <c r="D100" s="12"/>
      <c r="E100" s="13"/>
      <c r="F100" s="13"/>
      <c r="G100" s="14" t="str">
        <f>IF(AND(ISBLANK(B100), ISBLANK(E100), ISBLANK(F100)), "", SUM($E$13:E100)-SUM($F$13:F100))</f>
        <v/>
      </c>
    </row>
    <row r="101" spans="1:7" ht="20.100000000000001" customHeight="1" x14ac:dyDescent="0.25">
      <c r="A101" s="5">
        <v>89</v>
      </c>
      <c r="B101" s="6"/>
      <c r="C101" s="7"/>
      <c r="D101" s="7"/>
      <c r="E101" s="8"/>
      <c r="F101" s="8"/>
      <c r="G101" s="9" t="str">
        <f>IF(AND(ISBLANK(B101), ISBLANK(E101), ISBLANK(F101)), "", SUM($E$13:E101)-SUM($F$13:F101))</f>
        <v/>
      </c>
    </row>
    <row r="102" spans="1:7" ht="20.100000000000001" customHeight="1" x14ac:dyDescent="0.25">
      <c r="A102" s="10">
        <v>90</v>
      </c>
      <c r="B102" s="11"/>
      <c r="C102" s="12"/>
      <c r="D102" s="12"/>
      <c r="E102" s="13"/>
      <c r="F102" s="13"/>
      <c r="G102" s="14" t="str">
        <f>IF(AND(ISBLANK(B102), ISBLANK(E102), ISBLANK(F102)), "", SUM($E$13:E102)-SUM($F$13:F102))</f>
        <v/>
      </c>
    </row>
    <row r="103" spans="1:7" ht="20.100000000000001" customHeight="1" x14ac:dyDescent="0.25">
      <c r="A103" s="5">
        <v>91</v>
      </c>
      <c r="B103" s="6"/>
      <c r="C103" s="7"/>
      <c r="D103" s="7"/>
      <c r="E103" s="8"/>
      <c r="F103" s="8"/>
      <c r="G103" s="9" t="str">
        <f>IF(AND(ISBLANK(B103), ISBLANK(E103), ISBLANK(F103)), "", SUM($E$13:E103)-SUM($F$13:F103))</f>
        <v/>
      </c>
    </row>
    <row r="104" spans="1:7" ht="20.100000000000001" customHeight="1" x14ac:dyDescent="0.25">
      <c r="A104" s="10">
        <v>92</v>
      </c>
      <c r="B104" s="11"/>
      <c r="C104" s="12"/>
      <c r="D104" s="12"/>
      <c r="E104" s="13"/>
      <c r="F104" s="13"/>
      <c r="G104" s="14" t="str">
        <f>IF(AND(ISBLANK(B104), ISBLANK(E104), ISBLANK(F104)), "", SUM($E$13:E104)-SUM($F$13:F104))</f>
        <v/>
      </c>
    </row>
    <row r="105" spans="1:7" ht="20.100000000000001" customHeight="1" x14ac:dyDescent="0.25">
      <c r="A105" s="5">
        <v>93</v>
      </c>
      <c r="B105" s="6"/>
      <c r="C105" s="7"/>
      <c r="D105" s="7"/>
      <c r="E105" s="8"/>
      <c r="F105" s="8"/>
      <c r="G105" s="9" t="str">
        <f>IF(AND(ISBLANK(B105), ISBLANK(E105), ISBLANK(F105)), "", SUM($E$13:E105)-SUM($F$13:F105))</f>
        <v/>
      </c>
    </row>
    <row r="106" spans="1:7" ht="20.100000000000001" customHeight="1" x14ac:dyDescent="0.25">
      <c r="A106" s="10">
        <v>94</v>
      </c>
      <c r="B106" s="11"/>
      <c r="C106" s="12"/>
      <c r="D106" s="12"/>
      <c r="E106" s="13"/>
      <c r="F106" s="13"/>
      <c r="G106" s="14" t="str">
        <f>IF(AND(ISBLANK(B106), ISBLANK(E106), ISBLANK(F106)), "", SUM($E$13:E106)-SUM($F$13:F106))</f>
        <v/>
      </c>
    </row>
    <row r="107" spans="1:7" ht="20.100000000000001" customHeight="1" x14ac:dyDescent="0.25">
      <c r="A107" s="5">
        <v>95</v>
      </c>
      <c r="B107" s="6"/>
      <c r="C107" s="7"/>
      <c r="D107" s="7"/>
      <c r="E107" s="8"/>
      <c r="F107" s="8"/>
      <c r="G107" s="9" t="str">
        <f>IF(AND(ISBLANK(B107), ISBLANK(E107), ISBLANK(F107)), "", SUM($E$13:E107)-SUM($F$13:F107))</f>
        <v/>
      </c>
    </row>
    <row r="108" spans="1:7" ht="20.100000000000001" customHeight="1" x14ac:dyDescent="0.25">
      <c r="A108" s="10">
        <v>96</v>
      </c>
      <c r="B108" s="11"/>
      <c r="C108" s="12"/>
      <c r="D108" s="12"/>
      <c r="E108" s="13"/>
      <c r="F108" s="13"/>
      <c r="G108" s="14" t="str">
        <f>IF(AND(ISBLANK(B108), ISBLANK(E108), ISBLANK(F108)), "", SUM($E$13:E108)-SUM($F$13:F108))</f>
        <v/>
      </c>
    </row>
    <row r="109" spans="1:7" ht="20.100000000000001" customHeight="1" x14ac:dyDescent="0.25">
      <c r="A109" s="5">
        <v>97</v>
      </c>
      <c r="B109" s="6"/>
      <c r="C109" s="7"/>
      <c r="D109" s="7"/>
      <c r="E109" s="8"/>
      <c r="F109" s="8"/>
      <c r="G109" s="9" t="str">
        <f>IF(AND(ISBLANK(B109), ISBLANK(E109), ISBLANK(F109)), "", SUM($E$13:E109)-SUM($F$13:F109))</f>
        <v/>
      </c>
    </row>
    <row r="110" spans="1:7" ht="20.100000000000001" customHeight="1" x14ac:dyDescent="0.25">
      <c r="A110" s="10">
        <v>98</v>
      </c>
      <c r="B110" s="11"/>
      <c r="C110" s="12"/>
      <c r="D110" s="12"/>
      <c r="E110" s="13"/>
      <c r="F110" s="13"/>
      <c r="G110" s="14" t="str">
        <f>IF(AND(ISBLANK(B110), ISBLANK(E110), ISBLANK(F110)), "", SUM($E$13:E110)-SUM($F$13:F110))</f>
        <v/>
      </c>
    </row>
    <row r="111" spans="1:7" ht="20.100000000000001" customHeight="1" x14ac:dyDescent="0.25">
      <c r="A111" s="5">
        <v>99</v>
      </c>
      <c r="B111" s="6"/>
      <c r="C111" s="7"/>
      <c r="D111" s="7"/>
      <c r="E111" s="8"/>
      <c r="F111" s="8"/>
      <c r="G111" s="9" t="str">
        <f>IF(AND(ISBLANK(B111), ISBLANK(E111), ISBLANK(F111)), "", SUM($E$13:E111)-SUM($F$13:F111))</f>
        <v/>
      </c>
    </row>
    <row r="112" spans="1:7" ht="20.100000000000001" customHeight="1" x14ac:dyDescent="0.25">
      <c r="A112" s="10">
        <v>100</v>
      </c>
      <c r="B112" s="11"/>
      <c r="C112" s="12"/>
      <c r="D112" s="12"/>
      <c r="E112" s="13"/>
      <c r="F112" s="13"/>
      <c r="G112" s="14" t="str">
        <f>IF(AND(ISBLANK(B112), ISBLANK(E112), ISBLANK(F112)), "", SUM($E$13:E112)-SUM($F$13:F112))</f>
        <v/>
      </c>
    </row>
    <row r="113" spans="1:7" ht="20.100000000000001" customHeight="1" x14ac:dyDescent="0.25">
      <c r="A113" s="5">
        <v>101</v>
      </c>
      <c r="B113" s="6"/>
      <c r="C113" s="7"/>
      <c r="D113" s="7"/>
      <c r="E113" s="8"/>
      <c r="F113" s="8"/>
      <c r="G113" s="9" t="str">
        <f>IF(AND(ISBLANK(B113), ISBLANK(E113), ISBLANK(F113)), "", SUM($E$13:E113)-SUM($F$13:F113))</f>
        <v/>
      </c>
    </row>
    <row r="114" spans="1:7" ht="20.100000000000001" customHeight="1" x14ac:dyDescent="0.25">
      <c r="A114" s="10">
        <v>102</v>
      </c>
      <c r="B114" s="11"/>
      <c r="C114" s="12"/>
      <c r="D114" s="12"/>
      <c r="E114" s="13"/>
      <c r="F114" s="13"/>
      <c r="G114" s="14" t="str">
        <f>IF(AND(ISBLANK(B114), ISBLANK(E114), ISBLANK(F114)), "", SUM($E$13:E114)-SUM($F$13:F114))</f>
        <v/>
      </c>
    </row>
    <row r="115" spans="1:7" ht="20.100000000000001" customHeight="1" x14ac:dyDescent="0.25">
      <c r="A115" s="5">
        <v>103</v>
      </c>
      <c r="B115" s="6"/>
      <c r="C115" s="7"/>
      <c r="D115" s="7"/>
      <c r="E115" s="8"/>
      <c r="F115" s="8"/>
      <c r="G115" s="9" t="str">
        <f>IF(AND(ISBLANK(B115), ISBLANK(E115), ISBLANK(F115)), "", SUM($E$13:E115)-SUM($F$13:F115))</f>
        <v/>
      </c>
    </row>
    <row r="116" spans="1:7" ht="20.100000000000001" customHeight="1" x14ac:dyDescent="0.25">
      <c r="A116" s="10">
        <v>104</v>
      </c>
      <c r="B116" s="11"/>
      <c r="C116" s="12"/>
      <c r="D116" s="12"/>
      <c r="E116" s="13"/>
      <c r="F116" s="13"/>
      <c r="G116" s="14" t="str">
        <f>IF(AND(ISBLANK(B116), ISBLANK(E116), ISBLANK(F116)), "", SUM($E$13:E116)-SUM($F$13:F116))</f>
        <v/>
      </c>
    </row>
    <row r="117" spans="1:7" ht="20.100000000000001" customHeight="1" x14ac:dyDescent="0.25">
      <c r="A117" s="5">
        <v>105</v>
      </c>
      <c r="B117" s="6"/>
      <c r="C117" s="7"/>
      <c r="D117" s="7"/>
      <c r="E117" s="8"/>
      <c r="F117" s="8"/>
      <c r="G117" s="9" t="str">
        <f>IF(AND(ISBLANK(B117), ISBLANK(E117), ISBLANK(F117)), "", SUM($E$13:E117)-SUM($F$13:F117))</f>
        <v/>
      </c>
    </row>
    <row r="118" spans="1:7" ht="20.100000000000001" customHeight="1" x14ac:dyDescent="0.25">
      <c r="A118" s="10">
        <v>106</v>
      </c>
      <c r="B118" s="11"/>
      <c r="C118" s="12"/>
      <c r="D118" s="12"/>
      <c r="E118" s="13"/>
      <c r="F118" s="13"/>
      <c r="G118" s="14" t="str">
        <f>IF(AND(ISBLANK(B118), ISBLANK(E118), ISBLANK(F118)), "", SUM($E$13:E118)-SUM($F$13:F118))</f>
        <v/>
      </c>
    </row>
    <row r="119" spans="1:7" ht="20.100000000000001" customHeight="1" x14ac:dyDescent="0.25">
      <c r="A119" s="5">
        <v>107</v>
      </c>
      <c r="B119" s="6"/>
      <c r="C119" s="7"/>
      <c r="D119" s="7"/>
      <c r="E119" s="8"/>
      <c r="F119" s="8"/>
      <c r="G119" s="9" t="str">
        <f>IF(AND(ISBLANK(B119), ISBLANK(E119), ISBLANK(F119)), "", SUM($E$13:E119)-SUM($F$13:F119))</f>
        <v/>
      </c>
    </row>
    <row r="120" spans="1:7" ht="20.100000000000001" customHeight="1" x14ac:dyDescent="0.25">
      <c r="A120" s="10">
        <v>108</v>
      </c>
      <c r="B120" s="11"/>
      <c r="C120" s="12"/>
      <c r="D120" s="12"/>
      <c r="E120" s="13"/>
      <c r="F120" s="13"/>
      <c r="G120" s="14" t="str">
        <f>IF(AND(ISBLANK(B120), ISBLANK(E120), ISBLANK(F120)), "", SUM($E$13:E120)-SUM($F$13:F120))</f>
        <v/>
      </c>
    </row>
    <row r="121" spans="1:7" ht="24" customHeight="1" x14ac:dyDescent="0.25">
      <c r="A121" s="21" t="s">
        <v>17</v>
      </c>
      <c r="B121" s="22"/>
      <c r="C121" s="22"/>
      <c r="D121" s="22"/>
      <c r="E121" s="15">
        <f>SUM(E13:E120)</f>
        <v>194200</v>
      </c>
      <c r="F121" s="16">
        <f>SUM(F13:F120)</f>
        <v>152128.5</v>
      </c>
      <c r="G121" s="17">
        <f>E121-F121</f>
        <v>42071.5</v>
      </c>
    </row>
  </sheetData>
  <mergeCells count="10">
    <mergeCell ref="A2:G2"/>
    <mergeCell ref="A121:D121"/>
    <mergeCell ref="E6:F7"/>
    <mergeCell ref="C6:D7"/>
    <mergeCell ref="A3:G3"/>
    <mergeCell ref="C5:D5"/>
    <mergeCell ref="A5:B5"/>
    <mergeCell ref="A6:B7"/>
    <mergeCell ref="E5:F5"/>
    <mergeCell ref="G6:G7"/>
  </mergeCells>
  <dataValidations count="1">
    <dataValidation type="list" allowBlank="1" errorTitle="Categoría no válida" error="Por favor seleccione una categoría de la lista." promptTitle="Categoría" prompt="Seleccione la categoría correspondiente" sqref="C13:C120" xr:uid="{00000000-0002-0000-0000-000000000000}">
      <formula1>"Venta Lote, Cuota / Reserva, Comisión, Servicios Inmobiliarios, Publicidad / Marketing, Mantenimiento / Obras, Gastos Legales, Impuestos / Tasas, Gastos Administrativos, Servicios Básicos, Otros"</formula1>
    </dataValidation>
  </dataValidations>
  <pageMargins left="0.25" right="0.25" top="0.75" bottom="0.75" header="0.3" footer="0.3"/>
  <pageSetup paperSize="9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2"/>
  <sheetViews>
    <sheetView workbookViewId="0"/>
  </sheetViews>
  <sheetFormatPr baseColWidth="10" defaultColWidth="9.140625" defaultRowHeight="15" x14ac:dyDescent="0.25"/>
  <cols>
    <col min="1" max="1" width="25" customWidth="1"/>
    <col min="2" max="6" width="20" customWidth="1"/>
  </cols>
  <sheetData>
    <row r="2" spans="1:6" ht="30" customHeight="1" x14ac:dyDescent="0.25">
      <c r="A2" s="19" t="s">
        <v>18</v>
      </c>
      <c r="B2" s="20"/>
      <c r="C2" s="20"/>
      <c r="D2" s="20"/>
      <c r="E2" s="20"/>
      <c r="F2" s="20"/>
    </row>
    <row r="4" spans="1:6" ht="21.95" customHeight="1" x14ac:dyDescent="0.25">
      <c r="A4" s="18" t="s">
        <v>19</v>
      </c>
    </row>
    <row r="5" spans="1:6" ht="20.100000000000001" customHeight="1" x14ac:dyDescent="0.25">
      <c r="A5" s="35" t="s">
        <v>20</v>
      </c>
      <c r="B5" s="36"/>
      <c r="C5" s="36"/>
      <c r="D5" s="36"/>
      <c r="E5" s="36"/>
      <c r="F5" s="36"/>
    </row>
    <row r="6" spans="1:6" ht="24.95" customHeight="1" x14ac:dyDescent="0.25">
      <c r="A6" s="36"/>
      <c r="B6" s="36"/>
      <c r="C6" s="36"/>
      <c r="D6" s="36"/>
      <c r="E6" s="36"/>
      <c r="F6" s="36"/>
    </row>
    <row r="8" spans="1:6" ht="21.95" customHeight="1" x14ac:dyDescent="0.25">
      <c r="A8" s="18" t="s">
        <v>21</v>
      </c>
    </row>
    <row r="9" spans="1:6" ht="20.100000000000001" customHeight="1" x14ac:dyDescent="0.25">
      <c r="A9" s="35" t="s">
        <v>22</v>
      </c>
      <c r="B9" s="36"/>
      <c r="C9" s="36"/>
      <c r="D9" s="36"/>
      <c r="E9" s="36"/>
      <c r="F9" s="36"/>
    </row>
    <row r="10" spans="1:6" ht="24.95" customHeight="1" x14ac:dyDescent="0.25">
      <c r="A10" s="36"/>
      <c r="B10" s="36"/>
      <c r="C10" s="36"/>
      <c r="D10" s="36"/>
      <c r="E10" s="36"/>
      <c r="F10" s="36"/>
    </row>
    <row r="12" spans="1:6" ht="21.95" customHeight="1" x14ac:dyDescent="0.25">
      <c r="A12" s="18" t="s">
        <v>23</v>
      </c>
    </row>
    <row r="13" spans="1:6" ht="20.100000000000001" customHeight="1" x14ac:dyDescent="0.25">
      <c r="A13" s="35" t="s">
        <v>24</v>
      </c>
      <c r="B13" s="36"/>
      <c r="C13" s="36"/>
      <c r="D13" s="36"/>
      <c r="E13" s="36"/>
      <c r="F13" s="36"/>
    </row>
    <row r="14" spans="1:6" ht="24.95" customHeight="1" x14ac:dyDescent="0.25">
      <c r="A14" s="36"/>
      <c r="B14" s="36"/>
      <c r="C14" s="36"/>
      <c r="D14" s="36"/>
      <c r="E14" s="36"/>
      <c r="F14" s="36"/>
    </row>
    <row r="16" spans="1:6" ht="21.95" customHeight="1" x14ac:dyDescent="0.25">
      <c r="A16" s="18" t="s">
        <v>25</v>
      </c>
    </row>
    <row r="17" spans="1:6" ht="20.100000000000001" customHeight="1" x14ac:dyDescent="0.25">
      <c r="A17" s="35" t="s">
        <v>26</v>
      </c>
      <c r="B17" s="36"/>
      <c r="C17" s="36"/>
      <c r="D17" s="36"/>
      <c r="E17" s="36"/>
      <c r="F17" s="36"/>
    </row>
    <row r="18" spans="1:6" ht="24.95" customHeight="1" x14ac:dyDescent="0.25">
      <c r="A18" s="36"/>
      <c r="B18" s="36"/>
      <c r="C18" s="36"/>
      <c r="D18" s="36"/>
      <c r="E18" s="36"/>
      <c r="F18" s="36"/>
    </row>
    <row r="20" spans="1:6" ht="21.95" customHeight="1" x14ac:dyDescent="0.25">
      <c r="A20" s="18" t="s">
        <v>27</v>
      </c>
    </row>
    <row r="21" spans="1:6" ht="20.100000000000001" customHeight="1" x14ac:dyDescent="0.25">
      <c r="A21" s="35" t="s">
        <v>28</v>
      </c>
      <c r="B21" s="36"/>
      <c r="C21" s="36"/>
      <c r="D21" s="36"/>
      <c r="E21" s="36"/>
      <c r="F21" s="36"/>
    </row>
    <row r="22" spans="1:6" ht="24.95" customHeight="1" x14ac:dyDescent="0.25">
      <c r="A22" s="36"/>
      <c r="B22" s="36"/>
      <c r="C22" s="36"/>
      <c r="D22" s="36"/>
      <c r="E22" s="36"/>
      <c r="F22" s="36"/>
    </row>
  </sheetData>
  <mergeCells count="6">
    <mergeCell ref="A2:F2"/>
    <mergeCell ref="A21:F22"/>
    <mergeCell ref="A5:F6"/>
    <mergeCell ref="A17:F18"/>
    <mergeCell ref="A9:F10"/>
    <mergeCell ref="A13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Ingresos y Egresos</vt:lpstr>
      <vt:lpstr>Instrucciones y 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lastPrinted>2026-09-06T16:07:49Z</cp:lastPrinted>
  <dcterms:created xsi:type="dcterms:W3CDTF">2026-09-04T20:54:08Z</dcterms:created>
  <dcterms:modified xsi:type="dcterms:W3CDTF">2026-09-08T03:09:03Z</dcterms:modified>
</cp:coreProperties>
</file>